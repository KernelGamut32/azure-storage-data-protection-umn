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Scenarios" sheetId="3" state="visible" r:id="rId5"/>
    <sheet name="EarlyDeletion" sheetId="4" state="visible" r:id="rId6"/>
    <sheet name="Rehydration" sheetId="5" state="visible" r:id="rId7"/>
    <sheet name="BackupRetention" sheetId="6" state="visible" r:id="rId8"/>
    <sheet name="EgressAndCopies" sheetId="7" state="visible" r:id="rId9"/>
    <sheet name="ReservedCapacit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<sst xmlns="http://schemas.openxmlformats.org/spreadsheetml/2006/main" count="219" uniqueCount="185">
  <si>
    <t xml:space="preserve">Storage Cost Model Workbook</t>
  </si>
  <si>
    <t xml:space="preserve">Purpose: pre-built calculators for Session 1 (tiering demonstration) and Session 6 (FinOps). Every calculator reads the Assumptions sheet.</t>
  </si>
  <si>
    <t xml:space="preserve">How to use: change yellow cells only. Replace the Assumptions prices with current values from the Azure pricing page before using any figure with a stakeholder.</t>
  </si>
  <si>
    <t xml:space="preserve">Sheets: Scenarios (portfolio strategies), EarlyDeletion, Rehydration, BackupRetention, EgressAndCopies, ReservedCapacity.</t>
  </si>
  <si>
    <t xml:space="preserve">Data dictionary</t>
  </si>
  <si>
    <t xml:space="preserve">Sheet</t>
  </si>
  <si>
    <t xml:space="preserve">Column</t>
  </si>
  <si>
    <t xml:space="preserve">Type</t>
  </si>
  <si>
    <t xml:space="preserve">Description</t>
  </si>
  <si>
    <t xml:space="preserve">Assumptions</t>
  </si>
  <si>
    <t xml:space="preserve">Value</t>
  </si>
  <si>
    <t xml:space="preserve">Input</t>
  </si>
  <si>
    <t xml:space="preserve">Illustrative unit prices and policy constants</t>
  </si>
  <si>
    <t xml:space="preserve">Scenarios</t>
  </si>
  <si>
    <t xml:space="preserve">Rows 5 to 8</t>
  </si>
  <si>
    <t xml:space="preserve">Input + Formula</t>
  </si>
  <si>
    <t xml:space="preserve">Capacity per tier per scenario; monthly and annual cost; saving versus Scenario A; one-time tier-change cost and payback</t>
  </si>
  <si>
    <t xml:space="preserve">EarlyDeletion</t>
  </si>
  <si>
    <t xml:space="preserve">B4 to B10</t>
  </si>
  <si>
    <t xml:space="preserve">Prorated early deletion charge</t>
  </si>
  <si>
    <t xml:space="preserve">Rehydration</t>
  </si>
  <si>
    <t xml:space="preserve">B4 to B12</t>
  </si>
  <si>
    <t xml:space="preserve">Retrieval, operation, and landing-tier cost of a rehydration event</t>
  </si>
  <si>
    <t xml:space="preserve">BackupRetention</t>
  </si>
  <si>
    <t xml:space="preserve">B4 to B18</t>
  </si>
  <si>
    <t xml:space="preserve">Vaulted backup storage and instance fees from retention settings</t>
  </si>
  <si>
    <t xml:space="preserve">EgressAndCopies</t>
  </si>
  <si>
    <t xml:space="preserve">B4 to B17</t>
  </si>
  <si>
    <t xml:space="preserve">Egress cost and GRS versus object replication comparison</t>
  </si>
  <si>
    <t xml:space="preserve">ReservedCapacity</t>
  </si>
  <si>
    <t xml:space="preserve">Reservation units and savings per eligible tier</t>
  </si>
  <si>
    <t xml:space="preserve">Legend</t>
  </si>
  <si>
    <t xml:space="preserve">Blue text on yellow fill</t>
  </si>
  <si>
    <t xml:space="preserve">Editable assumption or input. Change these to re-model.</t>
  </si>
  <si>
    <t xml:space="preserve">Black text</t>
  </si>
  <si>
    <t xml:space="preserve">Formula. Do not overwrite.</t>
  </si>
  <si>
    <t xml:space="preserve">All data is synthetic</t>
  </si>
  <si>
    <t xml:space="preserve">Names, identifiers, and figures are fabricated for training and modeled loosely on a large public research university. No real University of Minnesota data is used.</t>
  </si>
  <si>
    <t xml:space="preserve">Assumptions (illustrative, replace with current pricing page values)</t>
  </si>
  <si>
    <t xml:space="preserve">Every number on this sheet is an input. Yellow cells are safe to change. Figures are sample values entered by the course author in October 2026 for teaching, not Microsoft price quotes.</t>
  </si>
  <si>
    <t xml:space="preserve">Item</t>
  </si>
  <si>
    <t xml:space="preserve">Unit</t>
  </si>
  <si>
    <t xml:space="preserve">Note</t>
  </si>
  <si>
    <t xml:space="preserve">Hot storage</t>
  </si>
  <si>
    <t xml:space="preserve">USD per GB-month</t>
  </si>
  <si>
    <t xml:space="preserve">Flat namespace, LRS, first band</t>
  </si>
  <si>
    <t xml:space="preserve">Cool storage</t>
  </si>
  <si>
    <t xml:space="preserve">Minimum 30 days</t>
  </si>
  <si>
    <t xml:space="preserve">Cold storage</t>
  </si>
  <si>
    <t xml:space="preserve">Minimum 90 days</t>
  </si>
  <si>
    <t xml:space="preserve">Archive storage</t>
  </si>
  <si>
    <t xml:space="preserve">Minimum 180 days, offline</t>
  </si>
  <si>
    <t xml:space="preserve">ZRS multiplier</t>
  </si>
  <si>
    <t xml:space="preserve">x LRS price</t>
  </si>
  <si>
    <t xml:space="preserve">Approximate uplift for zone redundancy</t>
  </si>
  <si>
    <t xml:space="preserve">GRS multiplier</t>
  </si>
  <si>
    <t xml:space="preserve">Approximate uplift for geo redundancy</t>
  </si>
  <si>
    <t xml:space="preserve">GZRS multiplier</t>
  </si>
  <si>
    <t xml:space="preserve">Approximate uplift for geo-zone redundancy</t>
  </si>
  <si>
    <t xml:space="preserve">Hot write operations</t>
  </si>
  <si>
    <t xml:space="preserve">USD per 10,000</t>
  </si>
  <si>
    <t xml:space="preserve">Put and list</t>
  </si>
  <si>
    <t xml:space="preserve">Hot read operations</t>
  </si>
  <si>
    <t xml:space="preserve">Get</t>
  </si>
  <si>
    <t xml:space="preserve">Cool write operations</t>
  </si>
  <si>
    <t xml:space="preserve">Cool read operations</t>
  </si>
  <si>
    <t xml:space="preserve">Cold write operations</t>
  </si>
  <si>
    <t xml:space="preserve">Cold read operations</t>
  </si>
  <si>
    <t xml:space="preserve">Archive write operations</t>
  </si>
  <si>
    <t xml:space="preserve">Archive read (rehydrate) operations</t>
  </si>
  <si>
    <t xml:space="preserve">Standard priority</t>
  </si>
  <si>
    <t xml:space="preserve">Cool data retrieval</t>
  </si>
  <si>
    <t xml:space="preserve">USD per GB</t>
  </si>
  <si>
    <t xml:space="preserve">Cold data retrieval</t>
  </si>
  <si>
    <t xml:space="preserve">Archive data retrieval, standard priority</t>
  </si>
  <si>
    <t xml:space="preserve">Archive data retrieval, high priority</t>
  </si>
  <si>
    <t xml:space="preserve">Plus higher per-operation charge</t>
  </si>
  <si>
    <t xml:space="preserve">Internet egress</t>
  </si>
  <si>
    <t xml:space="preserve">After the monthly free allowance</t>
  </si>
  <si>
    <t xml:space="preserve">Cool minimum retention</t>
  </si>
  <si>
    <t xml:space="preserve">days</t>
  </si>
  <si>
    <t xml:space="preserve">Early deletion prorated</t>
  </si>
  <si>
    <t xml:space="preserve">Cold minimum retention</t>
  </si>
  <si>
    <t xml:space="preserve">Archive minimum retention</t>
  </si>
  <si>
    <t xml:space="preserve">Reserved capacity discount, 1 year</t>
  </si>
  <si>
    <t xml:space="preserve">fraction</t>
  </si>
  <si>
    <t xml:space="preserve">Illustrative; applies to capacity only</t>
  </si>
  <si>
    <t xml:space="preserve">Reserved capacity discount, 3 year</t>
  </si>
  <si>
    <t xml:space="preserve">Backup vault storage (vaulted blob, LRS)</t>
  </si>
  <si>
    <t xml:space="preserve">Illustrative vault store price</t>
  </si>
  <si>
    <t xml:space="preserve">Backup vault storage (vaulted blob, GRS)</t>
  </si>
  <si>
    <t xml:space="preserve">Backup protected instance fee (blob vaulted, per 1 TB)</t>
  </si>
  <si>
    <t xml:space="preserve">USD per month</t>
  </si>
  <si>
    <t xml:space="preserve">Illustrative</t>
  </si>
  <si>
    <t xml:space="preserve">Portfolio scenarios: a 3 PB research portfolio under four tiering strategies</t>
  </si>
  <si>
    <t xml:space="preserve">Enter capacity in TB per tier for each scenario (yellow). Costs are monthly and annual, LRS unless the redundancy multiplier is set.</t>
  </si>
  <si>
    <t xml:space="preserve">Scenario</t>
  </si>
  <si>
    <t xml:space="preserve">Hot TB</t>
  </si>
  <si>
    <t xml:space="preserve">Cool TB</t>
  </si>
  <si>
    <t xml:space="preserve">Cold TB</t>
  </si>
  <si>
    <t xml:space="preserve">Archive TB</t>
  </si>
  <si>
    <t xml:space="preserve">Total TB</t>
  </si>
  <si>
    <t xml:space="preserve">Redundancy multiplier</t>
  </si>
  <si>
    <t xml:space="preserve">Monthly capacity cost (USD)</t>
  </si>
  <si>
    <t xml:space="preserve">Annual capacity cost (USD)</t>
  </si>
  <si>
    <t xml:space="preserve">Saving versus Scenario A</t>
  </si>
  <si>
    <t xml:space="preserve">Saving %</t>
  </si>
  <si>
    <t xml:space="preserve">A. Everything Hot (lift and shift)</t>
  </si>
  <si>
    <t xml:space="preserve">B. Lifecycle tiering by access</t>
  </si>
  <si>
    <t xml:space="preserve">C. Tiering plus Archive for century data</t>
  </si>
  <si>
    <t xml:space="preserve">D. Scenario C on ZRS for active tiers</t>
  </si>
  <si>
    <t xml:space="preserve">Scenario D keeps the Archive tier on LRS in practice; the multiplier is applied to the whole row here for simplicity. Refine per tier if needed.</t>
  </si>
  <si>
    <t xml:space="preserve">Tier-change transaction cost (one-time, when the lifecycle policy first runs)</t>
  </si>
  <si>
    <t xml:space="preserve">Objects moved to Cool</t>
  </si>
  <si>
    <t xml:space="preserve">Objects moved to Cold</t>
  </si>
  <si>
    <t xml:space="preserve">Objects moved to Archive</t>
  </si>
  <si>
    <t xml:space="preserve">Total one-time tier-change cost</t>
  </si>
  <si>
    <t xml:space="preserve">Payback period in months (Scenario B saving)</t>
  </si>
  <si>
    <t xml:space="preserve">Early deletion calculator</t>
  </si>
  <si>
    <t xml:space="preserve">Charge for deleting, overwriting, or moving a blob out of Cool, Cold, or Archive before the minimum retention period.</t>
  </si>
  <si>
    <t xml:space="preserve">Tier (Cool, Cold, or Archive)</t>
  </si>
  <si>
    <t xml:space="preserve">Archive</t>
  </si>
  <si>
    <t xml:space="preserve">Capacity moved early (GB)</t>
  </si>
  <si>
    <t xml:space="preserve">Days the data spent in the tier</t>
  </si>
  <si>
    <t xml:space="preserve">Minimum retention for the tier (days)</t>
  </si>
  <si>
    <t xml:space="preserve">Tier price per GB-month</t>
  </si>
  <si>
    <t xml:space="preserve">Remaining days charged</t>
  </si>
  <si>
    <t xml:space="preserve">Early deletion charge (USD)</t>
  </si>
  <si>
    <t xml:space="preserve">Formula: capacity x tier price x (minimum days minus days stored) / 30. Microsoft prorates the remainder of the minimum period.</t>
  </si>
  <si>
    <t xml:space="preserve">Archive rehydration calculator</t>
  </si>
  <si>
    <t xml:space="preserve">Capacity to rehydrate (GB)</t>
  </si>
  <si>
    <t xml:space="preserve">Object count</t>
  </si>
  <si>
    <t xml:space="preserve">Priority (Standard or High)</t>
  </si>
  <si>
    <t xml:space="preserve">Standard</t>
  </si>
  <si>
    <t xml:space="preserve">Retrieval charge (USD)</t>
  </si>
  <si>
    <t xml:space="preserve">Operation charge (USD)</t>
  </si>
  <si>
    <t xml:space="preserve">Destination tier for 30 days (Hot) storage (USD)</t>
  </si>
  <si>
    <t xml:space="preserve">Total rehydration event cost (USD)</t>
  </si>
  <si>
    <t xml:space="preserve">Expected time to first byte</t>
  </si>
  <si>
    <t xml:space="preserve">High priority operation charge is modeled as ten times standard; confirm the current multiplier on the pricing page. Bundling small files before archiving reduces the operation charge.</t>
  </si>
  <si>
    <t xml:space="preserve">Backup retention cost calculator (vaulted blob backup)</t>
  </si>
  <si>
    <t xml:space="preserve">Protected capacity (TB)</t>
  </si>
  <si>
    <t xml:space="preserve">Daily change rate</t>
  </si>
  <si>
    <t xml:space="preserve">Daily recovery points retained</t>
  </si>
  <si>
    <t xml:space="preserve">Weekly recovery points retained</t>
  </si>
  <si>
    <t xml:space="preserve">Monthly recovery points retained</t>
  </si>
  <si>
    <t xml:space="preserve">Yearly recovery points retained</t>
  </si>
  <si>
    <t xml:space="preserve">Vault redundancy (LRS or GRS)</t>
  </si>
  <si>
    <t xml:space="preserve">GRS</t>
  </si>
  <si>
    <t xml:space="preserve">Full copy in vault (GB)</t>
  </si>
  <si>
    <t xml:space="preserve">Incremental data retained (GB)</t>
  </si>
  <si>
    <t xml:space="preserve">Total vault storage (GB)</t>
  </si>
  <si>
    <t xml:space="preserve">Vault storage cost per month (USD)</t>
  </si>
  <si>
    <t xml:space="preserve">Protected instance fee per month (USD)</t>
  </si>
  <si>
    <t xml:space="preserve">Total backup cost per month (USD)</t>
  </si>
  <si>
    <t xml:space="preserve">Annual (USD)</t>
  </si>
  <si>
    <t xml:space="preserve">Model: each retained recovery point stores the data changed since the previous point of its cadence, capped at one full copy (change rate x days between points, capped at 100%). Yearly points therefore approach full copies, which is the lesson: retention length and redundancy are the two biggest levers. Replace the change rate with measured values.</t>
  </si>
  <si>
    <t xml:space="preserve">Egress and second-copy calculator</t>
  </si>
  <si>
    <t xml:space="preserve">Capacity copied out of Azure per month (GB)</t>
  </si>
  <si>
    <t xml:space="preserve">Internet egress charge (USD)</t>
  </si>
  <si>
    <t xml:space="preserve">Second copy held in another Azure region (GB)</t>
  </si>
  <si>
    <t xml:space="preserve">Second copy tier (Hot, Cool, Cold, Archive)</t>
  </si>
  <si>
    <t xml:space="preserve">Second copy monthly storage (USD)</t>
  </si>
  <si>
    <t xml:space="preserve">Geo-redundant alternative: same capacity on GRS instead of LRS plus object replication</t>
  </si>
  <si>
    <t xml:space="preserve">Primary capacity (GB)</t>
  </si>
  <si>
    <t xml:space="preserve">Primary tier</t>
  </si>
  <si>
    <t xml:space="preserve">Cold</t>
  </si>
  <si>
    <t xml:space="preserve">LRS monthly cost (USD)</t>
  </si>
  <si>
    <t xml:space="preserve">GRS monthly cost (USD)</t>
  </si>
  <si>
    <t xml:space="preserve">Object replication to Archive in second region (USD)</t>
  </si>
  <si>
    <t xml:space="preserve">Cheaper option</t>
  </si>
  <si>
    <t xml:space="preserve">Object replication lets the second copy live in a colder tier than the primary, which is why it often wins for research archives. Replicate while blobs are online; object replication cannot read archived blobs.</t>
  </si>
  <si>
    <t xml:space="preserve">Reserved capacity planner</t>
  </si>
  <si>
    <t xml:space="preserve">Reservations are bound to one region, one tier, and one redundancy, purchased in 100 TiB or 1 PiB units for one or three years. Capacity only; transactions, retrieval, egress, and early deletion are not covered.</t>
  </si>
  <si>
    <t xml:space="preserve">Tier</t>
  </si>
  <si>
    <t xml:space="preserve">Steady-state capacity (TB)</t>
  </si>
  <si>
    <t xml:space="preserve">Units of 100 TiB to reserve</t>
  </si>
  <si>
    <t xml:space="preserve">Reserved capacity (TB)</t>
  </si>
  <si>
    <t xml:space="preserve">Monthly pay-as-you-go (USD)</t>
  </si>
  <si>
    <t xml:space="preserve">Monthly with 3-year reservation (USD)</t>
  </si>
  <si>
    <t xml:space="preserve">Monthly saving (USD)</t>
  </si>
  <si>
    <t xml:space="preserve">Hot</t>
  </si>
  <si>
    <t xml:space="preserve">Cool</t>
  </si>
  <si>
    <t xml:space="preserve">Total</t>
  </si>
  <si>
    <t xml:space="preserve">Cold tier, smart tier, and premium accounts are not eligible for reserved capacity, so the Cold capacity from the Scenarios sheet is intentionally excluded here.</t>
  </si>
</sst>
</file>

<file path=xl/styles.xml><?xml version="1.0" encoding="utf-8"?>
<styleSheet xmlns="http://schemas.openxmlformats.org/spreadsheetml/2006/main">
  <numFmts count="11">
    <numFmt numFmtId="164" formatCode="General"/>
    <numFmt numFmtId="165" formatCode="\$0.0000"/>
    <numFmt numFmtId="166" formatCode="#,##0.00"/>
    <numFmt numFmtId="167" formatCode="0%"/>
    <numFmt numFmtId="168" formatCode="#,##0"/>
    <numFmt numFmtId="169" formatCode="0.00"/>
    <numFmt numFmtId="170" formatCode="\$#,##0"/>
    <numFmt numFmtId="171" formatCode="0.0%"/>
    <numFmt numFmtId="172" formatCode="0.0"/>
    <numFmt numFmtId="173" formatCode="General"/>
    <numFmt numFmtId="174"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7A0019"/>
      <name val="Arial"/>
      <family val="0"/>
      <charset val="1"/>
    </font>
    <font>
      <sz val="10"/>
      <name val="Arial"/>
      <family val="0"/>
      <charset val="1"/>
    </font>
    <font>
      <b val="true"/>
      <sz val="11"/>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0"/>
      <name val="Arial"/>
      <family val="0"/>
      <charset val="1"/>
    </font>
  </fonts>
  <fills count="4">
    <fill>
      <patternFill patternType="none"/>
    </fill>
    <fill>
      <patternFill patternType="gray125"/>
    </fill>
    <fill>
      <patternFill patternType="solid">
        <fgColor rgb="FF7A0019"/>
        <bgColor rgb="FF8000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A0019"/>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4"/>
    <col collapsed="false" customWidth="true" hidden="false" outlineLevel="0" max="4" min="4" style="0" width="11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7" customFormat="false" ht="15" hidden="false" customHeight="false" outlineLevel="0" collapsed="false">
      <c r="A7" s="3" t="s">
        <v>4</v>
      </c>
    </row>
    <row r="8" customFormat="false" ht="30" hidden="false" customHeight="true" outlineLevel="0" collapsed="false">
      <c r="A8" s="4" t="s">
        <v>5</v>
      </c>
      <c r="B8" s="4" t="s">
        <v>6</v>
      </c>
      <c r="C8" s="4" t="s">
        <v>7</v>
      </c>
      <c r="D8" s="4" t="s">
        <v>8</v>
      </c>
    </row>
    <row r="9" customFormat="false" ht="15" hidden="false" customHeight="false" outlineLevel="0" collapsed="false">
      <c r="A9" s="2" t="s">
        <v>9</v>
      </c>
      <c r="B9" s="2" t="s">
        <v>10</v>
      </c>
      <c r="C9" s="2" t="s">
        <v>11</v>
      </c>
      <c r="D9" s="5" t="s">
        <v>12</v>
      </c>
    </row>
    <row r="10" customFormat="false" ht="15" hidden="false" customHeight="false" outlineLevel="0" collapsed="false">
      <c r="A10" s="2" t="s">
        <v>13</v>
      </c>
      <c r="B10" s="2" t="s">
        <v>14</v>
      </c>
      <c r="C10" s="2" t="s">
        <v>15</v>
      </c>
      <c r="D10" s="5" t="s">
        <v>16</v>
      </c>
    </row>
    <row r="11" customFormat="false" ht="15" hidden="false" customHeight="false" outlineLevel="0" collapsed="false">
      <c r="A11" s="2" t="s">
        <v>17</v>
      </c>
      <c r="B11" s="2" t="s">
        <v>18</v>
      </c>
      <c r="C11" s="2" t="s">
        <v>15</v>
      </c>
      <c r="D11" s="5" t="s">
        <v>19</v>
      </c>
    </row>
    <row r="12" customFormat="false" ht="15" hidden="false" customHeight="false" outlineLevel="0" collapsed="false">
      <c r="A12" s="2" t="s">
        <v>20</v>
      </c>
      <c r="B12" s="2" t="s">
        <v>21</v>
      </c>
      <c r="C12" s="2" t="s">
        <v>15</v>
      </c>
      <c r="D12" s="5" t="s">
        <v>22</v>
      </c>
    </row>
    <row r="13" customFormat="false" ht="15" hidden="false" customHeight="false" outlineLevel="0" collapsed="false">
      <c r="A13" s="2" t="s">
        <v>23</v>
      </c>
      <c r="B13" s="2" t="s">
        <v>24</v>
      </c>
      <c r="C13" s="2" t="s">
        <v>15</v>
      </c>
      <c r="D13" s="5" t="s">
        <v>25</v>
      </c>
    </row>
    <row r="14" customFormat="false" ht="15" hidden="false" customHeight="false" outlineLevel="0" collapsed="false">
      <c r="A14" s="2" t="s">
        <v>26</v>
      </c>
      <c r="B14" s="2" t="s">
        <v>27</v>
      </c>
      <c r="C14" s="2" t="s">
        <v>15</v>
      </c>
      <c r="D14" s="5" t="s">
        <v>28</v>
      </c>
    </row>
    <row r="15" customFormat="false" ht="15" hidden="false" customHeight="false" outlineLevel="0" collapsed="false">
      <c r="A15" s="2" t="s">
        <v>29</v>
      </c>
      <c r="B15" s="2" t="s">
        <v>14</v>
      </c>
      <c r="C15" s="2" t="s">
        <v>15</v>
      </c>
      <c r="D15" s="5" t="s">
        <v>30</v>
      </c>
    </row>
    <row r="17" customFormat="false" ht="15" hidden="false" customHeight="false" outlineLevel="0" collapsed="false">
      <c r="A17" s="3" t="s">
        <v>31</v>
      </c>
    </row>
    <row r="18" customFormat="false" ht="15" hidden="false" customHeight="false" outlineLevel="0" collapsed="false">
      <c r="A18" s="6" t="s">
        <v>32</v>
      </c>
      <c r="B18" s="2" t="s">
        <v>33</v>
      </c>
    </row>
    <row r="19" customFormat="false" ht="15" hidden="false" customHeight="false" outlineLevel="0" collapsed="false">
      <c r="A19" s="2" t="s">
        <v>34</v>
      </c>
      <c r="B19" s="2" t="s">
        <v>35</v>
      </c>
    </row>
    <row r="20" customFormat="false" ht="15" hidden="false" customHeight="false" outlineLevel="0" collapsed="false">
      <c r="A20" s="7" t="s">
        <v>36</v>
      </c>
      <c r="B20" s="7"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22"/>
    <col collapsed="false" customWidth="true" hidden="false" outlineLevel="0" max="4" min="4" style="0" width="46"/>
  </cols>
  <sheetData>
    <row r="1" customFormat="false" ht="17.35" hidden="false" customHeight="false" outlineLevel="0" collapsed="false">
      <c r="A1" s="1" t="s">
        <v>38</v>
      </c>
    </row>
    <row r="2" customFormat="false" ht="15" hidden="false" customHeight="false" outlineLevel="0" collapsed="false">
      <c r="A2" s="7" t="s">
        <v>39</v>
      </c>
    </row>
    <row r="4" customFormat="false" ht="30" hidden="false" customHeight="true" outlineLevel="0" collapsed="false">
      <c r="A4" s="4" t="s">
        <v>40</v>
      </c>
      <c r="B4" s="4" t="s">
        <v>10</v>
      </c>
      <c r="C4" s="4" t="s">
        <v>41</v>
      </c>
      <c r="D4" s="4" t="s">
        <v>42</v>
      </c>
    </row>
    <row r="5" customFormat="false" ht="15" hidden="false" customHeight="false" outlineLevel="0" collapsed="false">
      <c r="A5" s="2" t="s">
        <v>43</v>
      </c>
      <c r="B5" s="8" t="n">
        <v>0.0184</v>
      </c>
      <c r="C5" s="2" t="s">
        <v>44</v>
      </c>
      <c r="D5" s="2" t="s">
        <v>45</v>
      </c>
    </row>
    <row r="6" customFormat="false" ht="15" hidden="false" customHeight="false" outlineLevel="0" collapsed="false">
      <c r="A6" s="2" t="s">
        <v>46</v>
      </c>
      <c r="B6" s="8" t="n">
        <v>0.01</v>
      </c>
      <c r="C6" s="2" t="s">
        <v>44</v>
      </c>
      <c r="D6" s="2" t="s">
        <v>47</v>
      </c>
    </row>
    <row r="7" customFormat="false" ht="15" hidden="false" customHeight="false" outlineLevel="0" collapsed="false">
      <c r="A7" s="2" t="s">
        <v>48</v>
      </c>
      <c r="B7" s="8" t="n">
        <v>0.0045</v>
      </c>
      <c r="C7" s="2" t="s">
        <v>44</v>
      </c>
      <c r="D7" s="2" t="s">
        <v>49</v>
      </c>
    </row>
    <row r="8" customFormat="false" ht="15" hidden="false" customHeight="false" outlineLevel="0" collapsed="false">
      <c r="A8" s="2" t="s">
        <v>50</v>
      </c>
      <c r="B8" s="8" t="n">
        <v>0.002</v>
      </c>
      <c r="C8" s="2" t="s">
        <v>44</v>
      </c>
      <c r="D8" s="2" t="s">
        <v>51</v>
      </c>
    </row>
    <row r="9" customFormat="false" ht="15" hidden="false" customHeight="false" outlineLevel="0" collapsed="false">
      <c r="A9" s="2" t="s">
        <v>52</v>
      </c>
      <c r="B9" s="9" t="n">
        <v>1.25</v>
      </c>
      <c r="C9" s="2" t="s">
        <v>53</v>
      </c>
      <c r="D9" s="2" t="s">
        <v>54</v>
      </c>
    </row>
    <row r="10" customFormat="false" ht="15" hidden="false" customHeight="false" outlineLevel="0" collapsed="false">
      <c r="A10" s="2" t="s">
        <v>55</v>
      </c>
      <c r="B10" s="9" t="n">
        <v>2</v>
      </c>
      <c r="C10" s="2" t="s">
        <v>53</v>
      </c>
      <c r="D10" s="2" t="s">
        <v>56</v>
      </c>
    </row>
    <row r="11" customFormat="false" ht="15" hidden="false" customHeight="false" outlineLevel="0" collapsed="false">
      <c r="A11" s="2" t="s">
        <v>57</v>
      </c>
      <c r="B11" s="9" t="n">
        <v>2.5</v>
      </c>
      <c r="C11" s="2" t="s">
        <v>53</v>
      </c>
      <c r="D11" s="2" t="s">
        <v>58</v>
      </c>
    </row>
    <row r="12" customFormat="false" ht="15" hidden="false" customHeight="false" outlineLevel="0" collapsed="false">
      <c r="A12" s="2" t="s">
        <v>59</v>
      </c>
      <c r="B12" s="8" t="n">
        <v>0.065</v>
      </c>
      <c r="C12" s="2" t="s">
        <v>60</v>
      </c>
      <c r="D12" s="2" t="s">
        <v>61</v>
      </c>
    </row>
    <row r="13" customFormat="false" ht="15" hidden="false" customHeight="false" outlineLevel="0" collapsed="false">
      <c r="A13" s="2" t="s">
        <v>62</v>
      </c>
      <c r="B13" s="8" t="n">
        <v>0.005</v>
      </c>
      <c r="C13" s="2" t="s">
        <v>60</v>
      </c>
      <c r="D13" s="2" t="s">
        <v>63</v>
      </c>
    </row>
    <row r="14" customFormat="false" ht="15" hidden="false" customHeight="false" outlineLevel="0" collapsed="false">
      <c r="A14" s="2" t="s">
        <v>64</v>
      </c>
      <c r="B14" s="8" t="n">
        <v>0.13</v>
      </c>
      <c r="C14" s="2" t="s">
        <v>60</v>
      </c>
      <c r="D14" s="2"/>
    </row>
    <row r="15" customFormat="false" ht="15" hidden="false" customHeight="false" outlineLevel="0" collapsed="false">
      <c r="A15" s="2" t="s">
        <v>65</v>
      </c>
      <c r="B15" s="8" t="n">
        <v>0.013</v>
      </c>
      <c r="C15" s="2" t="s">
        <v>60</v>
      </c>
      <c r="D15" s="2"/>
    </row>
    <row r="16" customFormat="false" ht="15" hidden="false" customHeight="false" outlineLevel="0" collapsed="false">
      <c r="A16" s="2" t="s">
        <v>66</v>
      </c>
      <c r="B16" s="8" t="n">
        <v>0.234</v>
      </c>
      <c r="C16" s="2" t="s">
        <v>60</v>
      </c>
      <c r="D16" s="2"/>
    </row>
    <row r="17" customFormat="false" ht="15" hidden="false" customHeight="false" outlineLevel="0" collapsed="false">
      <c r="A17" s="2" t="s">
        <v>67</v>
      </c>
      <c r="B17" s="8" t="n">
        <v>0.13</v>
      </c>
      <c r="C17" s="2" t="s">
        <v>60</v>
      </c>
      <c r="D17" s="2"/>
    </row>
    <row r="18" customFormat="false" ht="15" hidden="false" customHeight="false" outlineLevel="0" collapsed="false">
      <c r="A18" s="2" t="s">
        <v>68</v>
      </c>
      <c r="B18" s="8" t="n">
        <v>0.13</v>
      </c>
      <c r="C18" s="2" t="s">
        <v>60</v>
      </c>
      <c r="D18" s="2"/>
    </row>
    <row r="19" customFormat="false" ht="15" hidden="false" customHeight="false" outlineLevel="0" collapsed="false">
      <c r="A19" s="2" t="s">
        <v>69</v>
      </c>
      <c r="B19" s="9" t="n">
        <v>6.5</v>
      </c>
      <c r="C19" s="2" t="s">
        <v>60</v>
      </c>
      <c r="D19" s="2" t="s">
        <v>70</v>
      </c>
    </row>
    <row r="20" customFormat="false" ht="15" hidden="false" customHeight="false" outlineLevel="0" collapsed="false">
      <c r="A20" s="2" t="s">
        <v>71</v>
      </c>
      <c r="B20" s="8" t="n">
        <v>0.01</v>
      </c>
      <c r="C20" s="2" t="s">
        <v>72</v>
      </c>
      <c r="D20" s="2"/>
    </row>
    <row r="21" customFormat="false" ht="15" hidden="false" customHeight="false" outlineLevel="0" collapsed="false">
      <c r="A21" s="2" t="s">
        <v>73</v>
      </c>
      <c r="B21" s="8" t="n">
        <v>0.03</v>
      </c>
      <c r="C21" s="2" t="s">
        <v>72</v>
      </c>
      <c r="D21" s="2"/>
    </row>
    <row r="22" customFormat="false" ht="15" hidden="false" customHeight="false" outlineLevel="0" collapsed="false">
      <c r="A22" s="2" t="s">
        <v>74</v>
      </c>
      <c r="B22" s="8" t="n">
        <v>0.02</v>
      </c>
      <c r="C22" s="2" t="s">
        <v>72</v>
      </c>
      <c r="D22" s="2"/>
    </row>
    <row r="23" customFormat="false" ht="15" hidden="false" customHeight="false" outlineLevel="0" collapsed="false">
      <c r="A23" s="2" t="s">
        <v>75</v>
      </c>
      <c r="B23" s="8" t="n">
        <v>0.1</v>
      </c>
      <c r="C23" s="2" t="s">
        <v>72</v>
      </c>
      <c r="D23" s="2" t="s">
        <v>76</v>
      </c>
    </row>
    <row r="24" customFormat="false" ht="15" hidden="false" customHeight="false" outlineLevel="0" collapsed="false">
      <c r="A24" s="2" t="s">
        <v>77</v>
      </c>
      <c r="B24" s="8" t="n">
        <v>0.087</v>
      </c>
      <c r="C24" s="2" t="s">
        <v>72</v>
      </c>
      <c r="D24" s="2" t="s">
        <v>78</v>
      </c>
    </row>
    <row r="25" customFormat="false" ht="15" hidden="false" customHeight="false" outlineLevel="0" collapsed="false">
      <c r="A25" s="2" t="s">
        <v>79</v>
      </c>
      <c r="B25" s="9" t="n">
        <v>30</v>
      </c>
      <c r="C25" s="2" t="s">
        <v>80</v>
      </c>
      <c r="D25" s="2" t="s">
        <v>81</v>
      </c>
    </row>
    <row r="26" customFormat="false" ht="15" hidden="false" customHeight="false" outlineLevel="0" collapsed="false">
      <c r="A26" s="2" t="s">
        <v>82</v>
      </c>
      <c r="B26" s="9" t="n">
        <v>90</v>
      </c>
      <c r="C26" s="2" t="s">
        <v>80</v>
      </c>
      <c r="D26" s="2" t="s">
        <v>81</v>
      </c>
    </row>
    <row r="27" customFormat="false" ht="15" hidden="false" customHeight="false" outlineLevel="0" collapsed="false">
      <c r="A27" s="2" t="s">
        <v>83</v>
      </c>
      <c r="B27" s="9" t="n">
        <v>180</v>
      </c>
      <c r="C27" s="2" t="s">
        <v>80</v>
      </c>
      <c r="D27" s="2" t="s">
        <v>81</v>
      </c>
    </row>
    <row r="28" customFormat="false" ht="15" hidden="false" customHeight="false" outlineLevel="0" collapsed="false">
      <c r="A28" s="2" t="s">
        <v>84</v>
      </c>
      <c r="B28" s="10" t="n">
        <v>0.34</v>
      </c>
      <c r="C28" s="2" t="s">
        <v>85</v>
      </c>
      <c r="D28" s="2" t="s">
        <v>86</v>
      </c>
    </row>
    <row r="29" customFormat="false" ht="15" hidden="false" customHeight="false" outlineLevel="0" collapsed="false">
      <c r="A29" s="2" t="s">
        <v>87</v>
      </c>
      <c r="B29" s="10" t="n">
        <v>0.38</v>
      </c>
      <c r="C29" s="2" t="s">
        <v>85</v>
      </c>
      <c r="D29" s="2" t="s">
        <v>86</v>
      </c>
    </row>
    <row r="30" customFormat="false" ht="15" hidden="false" customHeight="false" outlineLevel="0" collapsed="false">
      <c r="A30" s="2" t="s">
        <v>88</v>
      </c>
      <c r="B30" s="8" t="n">
        <v>0.0224</v>
      </c>
      <c r="C30" s="2" t="s">
        <v>44</v>
      </c>
      <c r="D30" s="2" t="s">
        <v>89</v>
      </c>
    </row>
    <row r="31" customFormat="false" ht="15" hidden="false" customHeight="false" outlineLevel="0" collapsed="false">
      <c r="A31" s="2" t="s">
        <v>90</v>
      </c>
      <c r="B31" s="8" t="n">
        <v>0.0448</v>
      </c>
      <c r="C31" s="2" t="s">
        <v>44</v>
      </c>
      <c r="D31" s="2" t="s">
        <v>89</v>
      </c>
    </row>
    <row r="32" customFormat="false" ht="15" hidden="false" customHeight="false" outlineLevel="0" collapsed="false">
      <c r="A32" s="2" t="s">
        <v>91</v>
      </c>
      <c r="B32" s="9" t="n">
        <v>5</v>
      </c>
      <c r="C32" s="2" t="s">
        <v>92</v>
      </c>
      <c r="D32" s="2"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0"/>
    <col collapsed="false" customWidth="true" hidden="false" outlineLevel="0" max="5" min="5" style="0" width="12"/>
    <col collapsed="false" customWidth="true" hidden="false" outlineLevel="0" max="6" min="6" style="0" width="10"/>
    <col collapsed="false" customWidth="true" hidden="false" outlineLevel="0" max="7" min="7" style="0" width="20"/>
    <col collapsed="false" customWidth="true" hidden="false" outlineLevel="0" max="8" min="8" style="0" width="24"/>
    <col collapsed="false" customWidth="true" hidden="false" outlineLevel="0" max="10" min="9" style="0" width="22"/>
    <col collapsed="false" customWidth="true" hidden="false" outlineLevel="0" max="11" min="11" style="0" width="10"/>
  </cols>
  <sheetData>
    <row r="1" customFormat="false" ht="17.35" hidden="false" customHeight="false" outlineLevel="0" collapsed="false">
      <c r="A1" s="1" t="s">
        <v>94</v>
      </c>
    </row>
    <row r="2" customFormat="false" ht="15" hidden="false" customHeight="false" outlineLevel="0" collapsed="false">
      <c r="A2" s="7" t="s">
        <v>95</v>
      </c>
    </row>
    <row r="4" customFormat="false" ht="30" hidden="false" customHeight="true" outlineLevel="0" collapsed="false">
      <c r="A4" s="4" t="s">
        <v>96</v>
      </c>
      <c r="B4" s="4" t="s">
        <v>97</v>
      </c>
      <c r="C4" s="4" t="s">
        <v>98</v>
      </c>
      <c r="D4" s="4" t="s">
        <v>99</v>
      </c>
      <c r="E4" s="4" t="s">
        <v>100</v>
      </c>
      <c r="F4" s="4" t="s">
        <v>101</v>
      </c>
      <c r="G4" s="4" t="s">
        <v>102</v>
      </c>
      <c r="H4" s="4" t="s">
        <v>103</v>
      </c>
      <c r="I4" s="4" t="s">
        <v>104</v>
      </c>
      <c r="J4" s="4" t="s">
        <v>105</v>
      </c>
      <c r="K4" s="4" t="s">
        <v>106</v>
      </c>
    </row>
    <row r="5" customFormat="false" ht="15" hidden="false" customHeight="false" outlineLevel="0" collapsed="false">
      <c r="A5" s="2" t="s">
        <v>107</v>
      </c>
      <c r="B5" s="11" t="n">
        <v>3072</v>
      </c>
      <c r="C5" s="11" t="n">
        <v>0</v>
      </c>
      <c r="D5" s="11" t="n">
        <v>0</v>
      </c>
      <c r="E5" s="11" t="n">
        <v>0</v>
      </c>
      <c r="F5" s="12" t="n">
        <f aca="false">SUM(B5:E5)</f>
        <v>3072</v>
      </c>
      <c r="G5" s="13" t="n">
        <v>1</v>
      </c>
      <c r="H5" s="14" t="n">
        <f aca="false">(B5*Assumptions!$B$5+C5*Assumptions!$B$6+D5*Assumptions!$B$7+E5*Assumptions!$B$8)*1024*G5</f>
        <v>57881.3952</v>
      </c>
      <c r="I5" s="14" t="n">
        <f aca="false">H5*12</f>
        <v>694576.7424</v>
      </c>
      <c r="J5" s="14" t="n">
        <f aca="false">$I$5-I5</f>
        <v>0</v>
      </c>
      <c r="K5" s="15" t="n">
        <f aca="false">IF($I$5=0,0,J5/$I$5)</f>
        <v>0</v>
      </c>
    </row>
    <row r="6" customFormat="false" ht="15" hidden="false" customHeight="false" outlineLevel="0" collapsed="false">
      <c r="A6" s="2" t="s">
        <v>108</v>
      </c>
      <c r="B6" s="11" t="n">
        <v>420</v>
      </c>
      <c r="C6" s="11" t="n">
        <v>610</v>
      </c>
      <c r="D6" s="11" t="n">
        <v>940</v>
      </c>
      <c r="E6" s="11" t="n">
        <v>1102</v>
      </c>
      <c r="F6" s="12" t="n">
        <f aca="false">SUM(B6:E6)</f>
        <v>3072</v>
      </c>
      <c r="G6" s="13" t="n">
        <v>1</v>
      </c>
      <c r="H6" s="14" t="n">
        <f aca="false">(B6*Assumptions!$B$5+C6*Assumptions!$B$6+D6*Assumptions!$B$7+E6*Assumptions!$B$8)*1024*G6</f>
        <v>20748.288</v>
      </c>
      <c r="I6" s="14" t="n">
        <f aca="false">H6*12</f>
        <v>248979.456</v>
      </c>
      <c r="J6" s="14" t="n">
        <f aca="false">$I$5-I6</f>
        <v>445597.2864</v>
      </c>
      <c r="K6" s="15" t="n">
        <f aca="false">IF($I$5=0,0,J6/$I$5)</f>
        <v>0.641537873641304</v>
      </c>
    </row>
    <row r="7" customFormat="false" ht="15" hidden="false" customHeight="false" outlineLevel="0" collapsed="false">
      <c r="A7" s="2" t="s">
        <v>109</v>
      </c>
      <c r="B7" s="11" t="n">
        <v>380</v>
      </c>
      <c r="C7" s="11" t="n">
        <v>520</v>
      </c>
      <c r="D7" s="11" t="n">
        <v>700</v>
      </c>
      <c r="E7" s="11" t="n">
        <v>1472</v>
      </c>
      <c r="F7" s="12" t="n">
        <f aca="false">SUM(B7:E7)</f>
        <v>3072</v>
      </c>
      <c r="G7" s="13" t="n">
        <v>1</v>
      </c>
      <c r="H7" s="14" t="n">
        <f aca="false">(B7*Assumptions!$B$5+C7*Assumptions!$B$6+D7*Assumptions!$B$7+E7*Assumptions!$B$8)*1024*G7</f>
        <v>18724.864</v>
      </c>
      <c r="I7" s="14" t="n">
        <f aca="false">H7*12</f>
        <v>224698.368</v>
      </c>
      <c r="J7" s="14" t="n">
        <f aca="false">$I$5-I7</f>
        <v>469878.3744</v>
      </c>
      <c r="K7" s="15" t="n">
        <f aca="false">IF($I$5=0,0,J7/$I$5)</f>
        <v>0.676495980525362</v>
      </c>
    </row>
    <row r="8" customFormat="false" ht="15" hidden="false" customHeight="false" outlineLevel="0" collapsed="false">
      <c r="A8" s="2" t="s">
        <v>110</v>
      </c>
      <c r="B8" s="11" t="n">
        <v>380</v>
      </c>
      <c r="C8" s="11" t="n">
        <v>520</v>
      </c>
      <c r="D8" s="11" t="n">
        <v>700</v>
      </c>
      <c r="E8" s="11" t="n">
        <v>1472</v>
      </c>
      <c r="F8" s="12" t="n">
        <f aca="false">SUM(B8:E8)</f>
        <v>3072</v>
      </c>
      <c r="G8" s="16" t="n">
        <f aca="false">Assumptions!$B$9</f>
        <v>1.25</v>
      </c>
      <c r="H8" s="14" t="n">
        <f aca="false">(B8*Assumptions!$B$5+C8*Assumptions!$B$6+D8*Assumptions!$B$7+E8*Assumptions!$B$8)*1024*G8</f>
        <v>23406.08</v>
      </c>
      <c r="I8" s="14" t="n">
        <f aca="false">H8*12</f>
        <v>280872.96</v>
      </c>
      <c r="J8" s="14" t="n">
        <f aca="false">$I$5-I8</f>
        <v>413703.7824</v>
      </c>
      <c r="K8" s="15" t="n">
        <f aca="false">IF($I$5=0,0,J8/$I$5)</f>
        <v>0.595619975656703</v>
      </c>
    </row>
    <row r="11" customFormat="false" ht="15" hidden="false" customHeight="false" outlineLevel="0" collapsed="false">
      <c r="A11" s="7" t="s">
        <v>111</v>
      </c>
    </row>
    <row r="13" customFormat="false" ht="15" hidden="false" customHeight="false" outlineLevel="0" collapsed="false">
      <c r="A13" s="17" t="s">
        <v>112</v>
      </c>
    </row>
    <row r="14" customFormat="false" ht="15" hidden="false" customHeight="false" outlineLevel="0" collapsed="false">
      <c r="A14" s="0" t="s">
        <v>113</v>
      </c>
      <c r="B14" s="11" t="n">
        <v>8000000</v>
      </c>
      <c r="C14" s="14" t="n">
        <f aca="false">B14/10000*Assumptions!$B$14</f>
        <v>104</v>
      </c>
    </row>
    <row r="15" customFormat="false" ht="15" hidden="false" customHeight="false" outlineLevel="0" collapsed="false">
      <c r="A15" s="0" t="s">
        <v>114</v>
      </c>
      <c r="B15" s="11" t="n">
        <v>18000000</v>
      </c>
      <c r="C15" s="14" t="n">
        <f aca="false">B15/10000*Assumptions!$B$16</f>
        <v>421.2</v>
      </c>
    </row>
    <row r="16" customFormat="false" ht="15" hidden="false" customHeight="false" outlineLevel="0" collapsed="false">
      <c r="A16" s="0" t="s">
        <v>115</v>
      </c>
      <c r="B16" s="11" t="n">
        <v>32000000</v>
      </c>
      <c r="C16" s="14" t="n">
        <f aca="false">B16/10000*Assumptions!$B$18</f>
        <v>416</v>
      </c>
    </row>
    <row r="17" customFormat="false" ht="15" hidden="false" customHeight="false" outlineLevel="0" collapsed="false">
      <c r="A17" s="17" t="s">
        <v>116</v>
      </c>
      <c r="C17" s="14" t="n">
        <f aca="false">SUM(C14:C16)</f>
        <v>941.2</v>
      </c>
    </row>
    <row r="18" customFormat="false" ht="15" hidden="false" customHeight="false" outlineLevel="0" collapsed="false">
      <c r="A18" s="0" t="s">
        <v>117</v>
      </c>
      <c r="C18" s="18" t="n">
        <f aca="false">IF(J6=0,0,C17/(J6/12))</f>
        <v>0.0253466534575378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s>
  <sheetData>
    <row r="1" customFormat="false" ht="17.35" hidden="false" customHeight="false" outlineLevel="0" collapsed="false">
      <c r="A1" s="1" t="s">
        <v>118</v>
      </c>
    </row>
    <row r="2" customFormat="false" ht="15" hidden="false" customHeight="false" outlineLevel="0" collapsed="false">
      <c r="A2" s="7" t="s">
        <v>119</v>
      </c>
    </row>
    <row r="4" customFormat="false" ht="15" hidden="false" customHeight="false" outlineLevel="0" collapsed="false">
      <c r="A4" s="2" t="s">
        <v>120</v>
      </c>
      <c r="B4" s="6" t="s">
        <v>121</v>
      </c>
    </row>
    <row r="5" customFormat="false" ht="15" hidden="false" customHeight="false" outlineLevel="0" collapsed="false">
      <c r="A5" s="2" t="s">
        <v>122</v>
      </c>
      <c r="B5" s="11" t="n">
        <v>50000</v>
      </c>
    </row>
    <row r="6" customFormat="false" ht="15" hidden="false" customHeight="false" outlineLevel="0" collapsed="false">
      <c r="A6" s="2" t="s">
        <v>123</v>
      </c>
      <c r="B6" s="11" t="n">
        <v>45</v>
      </c>
    </row>
    <row r="7" customFormat="false" ht="15" hidden="false" customHeight="false" outlineLevel="0" collapsed="false">
      <c r="A7" s="2" t="s">
        <v>124</v>
      </c>
      <c r="B7" s="16" t="n">
        <f aca="false">IF(B4="Cool",Assumptions!$B$25,IF(B4="Cold",Assumptions!$B$26,Assumptions!$B$27))</f>
        <v>180</v>
      </c>
    </row>
    <row r="8" customFormat="false" ht="15" hidden="false" customHeight="false" outlineLevel="0" collapsed="false">
      <c r="A8" s="2" t="s">
        <v>125</v>
      </c>
      <c r="B8" s="19" t="n">
        <f aca="false">IF(B4="Cool",Assumptions!$B$6,IF(B4="Cold",Assumptions!$B$7,Assumptions!$B$8))</f>
        <v>0.002</v>
      </c>
    </row>
    <row r="9" customFormat="false" ht="15" hidden="false" customHeight="false" outlineLevel="0" collapsed="false">
      <c r="A9" s="2" t="s">
        <v>126</v>
      </c>
      <c r="B9" s="20" t="n">
        <f aca="false">MAX(0,B7-B6)</f>
        <v>135</v>
      </c>
    </row>
    <row r="10" customFormat="false" ht="15" hidden="false" customHeight="false" outlineLevel="0" collapsed="false">
      <c r="A10" s="17" t="s">
        <v>127</v>
      </c>
      <c r="B10" s="21" t="n">
        <f aca="false">B5*B8*B9/30</f>
        <v>450</v>
      </c>
    </row>
    <row r="12" customFormat="false" ht="15" hidden="false" customHeight="false" outlineLevel="0" collapsed="false">
      <c r="A12" s="7"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40"/>
  </cols>
  <sheetData>
    <row r="1" customFormat="false" ht="17.35" hidden="false" customHeight="false" outlineLevel="0" collapsed="false">
      <c r="A1" s="1" t="s">
        <v>129</v>
      </c>
    </row>
    <row r="4" customFormat="false" ht="15" hidden="false" customHeight="false" outlineLevel="0" collapsed="false">
      <c r="A4" s="2" t="s">
        <v>130</v>
      </c>
      <c r="B4" s="11" t="n">
        <v>20000</v>
      </c>
    </row>
    <row r="5" customFormat="false" ht="15" hidden="false" customHeight="false" outlineLevel="0" collapsed="false">
      <c r="A5" s="2" t="s">
        <v>131</v>
      </c>
      <c r="B5" s="11" t="n">
        <v>150000</v>
      </c>
    </row>
    <row r="6" customFormat="false" ht="15" hidden="false" customHeight="false" outlineLevel="0" collapsed="false">
      <c r="A6" s="2" t="s">
        <v>132</v>
      </c>
      <c r="B6" s="6" t="s">
        <v>133</v>
      </c>
    </row>
    <row r="7" customFormat="false" ht="15" hidden="false" customHeight="false" outlineLevel="0" collapsed="false">
      <c r="A7" s="2" t="s">
        <v>134</v>
      </c>
      <c r="B7" s="21" t="n">
        <f aca="false">B4*IF(B6="High",Assumptions!$B$23,Assumptions!$B$22)</f>
        <v>400</v>
      </c>
    </row>
    <row r="8" customFormat="false" ht="15" hidden="false" customHeight="false" outlineLevel="0" collapsed="false">
      <c r="A8" s="2" t="s">
        <v>135</v>
      </c>
      <c r="B8" s="21" t="n">
        <f aca="false">B5/10000*Assumptions!$B$19*IF(B6="High",10,1)</f>
        <v>97.5</v>
      </c>
    </row>
    <row r="9" customFormat="false" ht="15" hidden="false" customHeight="false" outlineLevel="0" collapsed="false">
      <c r="A9" s="2" t="s">
        <v>136</v>
      </c>
      <c r="B9" s="21" t="n">
        <f aca="false">B4*Assumptions!$B$5</f>
        <v>368</v>
      </c>
    </row>
    <row r="10" customFormat="false" ht="15" hidden="false" customHeight="false" outlineLevel="0" collapsed="false">
      <c r="A10" s="17" t="s">
        <v>137</v>
      </c>
      <c r="B10" s="21" t="n">
        <f aca="false">SUM(B7:B9)</f>
        <v>865.5</v>
      </c>
    </row>
    <row r="12" customFormat="false" ht="15" hidden="false" customHeight="false" outlineLevel="0" collapsed="false">
      <c r="A12" s="2" t="s">
        <v>138</v>
      </c>
      <c r="B12" s="0" t="str">
        <f aca="false">IF(B6="High","Under 1 hour for objects under 10 GB (not guaranteed)","Up to 15 hours")</f>
        <v>Up to 15 hours</v>
      </c>
    </row>
    <row r="14" customFormat="false" ht="15" hidden="false" customHeight="false" outlineLevel="0" collapsed="false">
      <c r="A14" s="7"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s>
  <sheetData>
    <row r="1" customFormat="false" ht="17.35" hidden="false" customHeight="false" outlineLevel="0" collapsed="false">
      <c r="A1" s="1" t="s">
        <v>140</v>
      </c>
    </row>
    <row r="4" customFormat="false" ht="15" hidden="false" customHeight="false" outlineLevel="0" collapsed="false">
      <c r="A4" s="2" t="s">
        <v>141</v>
      </c>
      <c r="B4" s="11" t="n">
        <v>250</v>
      </c>
    </row>
    <row r="5" customFormat="false" ht="15" hidden="false" customHeight="false" outlineLevel="0" collapsed="false">
      <c r="A5" s="2" t="s">
        <v>142</v>
      </c>
      <c r="B5" s="22" t="n">
        <v>0.003</v>
      </c>
    </row>
    <row r="6" customFormat="false" ht="15" hidden="false" customHeight="false" outlineLevel="0" collapsed="false">
      <c r="A6" s="2" t="s">
        <v>143</v>
      </c>
      <c r="B6" s="11" t="n">
        <v>30</v>
      </c>
    </row>
    <row r="7" customFormat="false" ht="15" hidden="false" customHeight="false" outlineLevel="0" collapsed="false">
      <c r="A7" s="2" t="s">
        <v>144</v>
      </c>
      <c r="B7" s="11" t="n">
        <v>12</v>
      </c>
    </row>
    <row r="8" customFormat="false" ht="15" hidden="false" customHeight="false" outlineLevel="0" collapsed="false">
      <c r="A8" s="2" t="s">
        <v>145</v>
      </c>
      <c r="B8" s="11" t="n">
        <v>12</v>
      </c>
    </row>
    <row r="9" customFormat="false" ht="15" hidden="false" customHeight="false" outlineLevel="0" collapsed="false">
      <c r="A9" s="2" t="s">
        <v>146</v>
      </c>
      <c r="B9" s="11" t="n">
        <v>7</v>
      </c>
    </row>
    <row r="10" customFormat="false" ht="15" hidden="false" customHeight="false" outlineLevel="0" collapsed="false">
      <c r="A10" s="2" t="s">
        <v>147</v>
      </c>
      <c r="B10" s="6" t="s">
        <v>148</v>
      </c>
    </row>
    <row r="12" customFormat="false" ht="15" hidden="false" customHeight="false" outlineLevel="0" collapsed="false">
      <c r="A12" s="2" t="s">
        <v>149</v>
      </c>
      <c r="B12" s="12" t="n">
        <f aca="false">B4*1024</f>
        <v>256000</v>
      </c>
    </row>
    <row r="13" customFormat="false" ht="15" hidden="false" customHeight="false" outlineLevel="0" collapsed="false">
      <c r="A13" s="2" t="s">
        <v>150</v>
      </c>
      <c r="B13" s="12" t="n">
        <f aca="false">B12*(B6*MIN(1,B5)+B7*MIN(1,B5*7)+B8*MIN(1,B5*30)+B9*MIN(1,B5*365))</f>
        <v>2156032</v>
      </c>
    </row>
    <row r="14" customFormat="false" ht="15" hidden="false" customHeight="false" outlineLevel="0" collapsed="false">
      <c r="A14" s="2" t="s">
        <v>151</v>
      </c>
      <c r="B14" s="12" t="n">
        <f aca="false">B12+B13</f>
        <v>2412032</v>
      </c>
    </row>
    <row r="15" customFormat="false" ht="15" hidden="false" customHeight="false" outlineLevel="0" collapsed="false">
      <c r="A15" s="2" t="s">
        <v>152</v>
      </c>
      <c r="B15" s="14" t="n">
        <f aca="false">B14*IF(B10="GRS",Assumptions!$B$31,Assumptions!$B$30)</f>
        <v>108059.0336</v>
      </c>
    </row>
    <row r="16" customFormat="false" ht="15" hidden="false" customHeight="false" outlineLevel="0" collapsed="false">
      <c r="A16" s="2" t="s">
        <v>153</v>
      </c>
      <c r="B16" s="14" t="n">
        <f aca="false">B4*Assumptions!$B$32</f>
        <v>1250</v>
      </c>
    </row>
    <row r="17" customFormat="false" ht="15" hidden="false" customHeight="false" outlineLevel="0" collapsed="false">
      <c r="A17" s="17" t="s">
        <v>154</v>
      </c>
      <c r="B17" s="14" t="n">
        <f aca="false">B15+B16</f>
        <v>109309.0336</v>
      </c>
    </row>
    <row r="18" customFormat="false" ht="15" hidden="false" customHeight="false" outlineLevel="0" collapsed="false">
      <c r="A18" s="17" t="s">
        <v>155</v>
      </c>
      <c r="B18" s="14" t="n">
        <f aca="false">B17*12</f>
        <v>1311708.4032</v>
      </c>
    </row>
    <row r="20" customFormat="false" ht="15" hidden="false" customHeight="false" outlineLevel="0" collapsed="false">
      <c r="A20" s="7"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s>
  <sheetData>
    <row r="1" customFormat="false" ht="17.35" hidden="false" customHeight="false" outlineLevel="0" collapsed="false">
      <c r="A1" s="1" t="s">
        <v>157</v>
      </c>
    </row>
    <row r="4" customFormat="false" ht="15" hidden="false" customHeight="false" outlineLevel="0" collapsed="false">
      <c r="A4" s="2" t="s">
        <v>158</v>
      </c>
      <c r="B4" s="11" t="n">
        <v>120000</v>
      </c>
    </row>
    <row r="5" customFormat="false" ht="15" hidden="false" customHeight="false" outlineLevel="0" collapsed="false">
      <c r="A5" s="2" t="s">
        <v>159</v>
      </c>
      <c r="B5" s="14" t="n">
        <f aca="false">B4*Assumptions!$B$24</f>
        <v>10440</v>
      </c>
    </row>
    <row r="7" customFormat="false" ht="15" hidden="false" customHeight="false" outlineLevel="0" collapsed="false">
      <c r="A7" s="2" t="s">
        <v>160</v>
      </c>
      <c r="B7" s="11" t="n">
        <v>1500000</v>
      </c>
    </row>
    <row r="8" customFormat="false" ht="15" hidden="false" customHeight="false" outlineLevel="0" collapsed="false">
      <c r="A8" s="2" t="s">
        <v>161</v>
      </c>
      <c r="B8" s="6" t="s">
        <v>121</v>
      </c>
    </row>
    <row r="9" customFormat="false" ht="15" hidden="false" customHeight="false" outlineLevel="0" collapsed="false">
      <c r="A9" s="2" t="s">
        <v>162</v>
      </c>
      <c r="B9" s="14" t="n">
        <f aca="false">B7*IF(B8="Hot",Assumptions!$B$5,IF(B8="Cool",Assumptions!$B$6,IF(B8="Cold",Assumptions!$B$7,Assumptions!$B$8)))</f>
        <v>3000</v>
      </c>
    </row>
    <row r="11" customFormat="false" ht="15" hidden="false" customHeight="false" outlineLevel="0" collapsed="false">
      <c r="A11" s="17" t="s">
        <v>163</v>
      </c>
    </row>
    <row r="12" customFormat="false" ht="15" hidden="false" customHeight="false" outlineLevel="0" collapsed="false">
      <c r="A12" s="2" t="s">
        <v>164</v>
      </c>
      <c r="B12" s="11" t="n">
        <v>1500000</v>
      </c>
    </row>
    <row r="13" customFormat="false" ht="15" hidden="false" customHeight="false" outlineLevel="0" collapsed="false">
      <c r="A13" s="2" t="s">
        <v>165</v>
      </c>
      <c r="B13" s="6" t="s">
        <v>166</v>
      </c>
    </row>
    <row r="14" customFormat="false" ht="15" hidden="false" customHeight="false" outlineLevel="0" collapsed="false">
      <c r="A14" s="2" t="s">
        <v>167</v>
      </c>
      <c r="B14" s="14" t="n">
        <f aca="false">B12*IF(B13="Hot",Assumptions!$B$5,IF(B13="Cool",Assumptions!$B$6,IF(B13="Cold",Assumptions!$B$7,Assumptions!$B$8)))</f>
        <v>6750</v>
      </c>
    </row>
    <row r="15" customFormat="false" ht="15" hidden="false" customHeight="false" outlineLevel="0" collapsed="false">
      <c r="A15" s="2" t="s">
        <v>168</v>
      </c>
      <c r="B15" s="14" t="n">
        <f aca="false">B14*Assumptions!$B$10</f>
        <v>13500</v>
      </c>
    </row>
    <row r="16" customFormat="false" ht="15" hidden="false" customHeight="false" outlineLevel="0" collapsed="false">
      <c r="A16" s="2" t="s">
        <v>169</v>
      </c>
      <c r="B16" s="14" t="n">
        <f aca="false">B14+B12*Assumptions!$B$8</f>
        <v>9750</v>
      </c>
    </row>
    <row r="17" customFormat="false" ht="15" hidden="false" customHeight="false" outlineLevel="0" collapsed="false">
      <c r="A17" s="17" t="s">
        <v>170</v>
      </c>
      <c r="B17" s="0" t="str">
        <f aca="false">IF(B15&lt;B16,"GRS","Object replication to Archive")</f>
        <v>Object replication to Archive</v>
      </c>
    </row>
    <row r="19" customFormat="false" ht="15" hidden="false" customHeight="false" outlineLevel="0" collapsed="false">
      <c r="A19" s="7"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6"/>
    <col collapsed="false" customWidth="true" hidden="false" outlineLevel="0" max="4" min="4" style="0" width="22"/>
    <col collapsed="false" customWidth="true" hidden="false" outlineLevel="0" max="5" min="5" style="0" width="26"/>
    <col collapsed="false" customWidth="true" hidden="false" outlineLevel="0" max="6" min="6" style="0" width="32"/>
    <col collapsed="false" customWidth="true" hidden="false" outlineLevel="0" max="7" min="7" style="0" width="20"/>
  </cols>
  <sheetData>
    <row r="1" customFormat="false" ht="17.35" hidden="false" customHeight="false" outlineLevel="0" collapsed="false">
      <c r="A1" s="1" t="s">
        <v>172</v>
      </c>
    </row>
    <row r="2" customFormat="false" ht="15" hidden="false" customHeight="false" outlineLevel="0" collapsed="false">
      <c r="A2" s="7" t="s">
        <v>173</v>
      </c>
    </row>
    <row r="4" customFormat="false" ht="30" hidden="false" customHeight="true" outlineLevel="0" collapsed="false">
      <c r="A4" s="4" t="s">
        <v>174</v>
      </c>
      <c r="B4" s="4" t="s">
        <v>175</v>
      </c>
      <c r="C4" s="4" t="s">
        <v>176</v>
      </c>
      <c r="D4" s="4" t="s">
        <v>177</v>
      </c>
      <c r="E4" s="4" t="s">
        <v>178</v>
      </c>
      <c r="F4" s="4" t="s">
        <v>179</v>
      </c>
      <c r="G4" s="4" t="s">
        <v>180</v>
      </c>
    </row>
    <row r="5" customFormat="false" ht="15" hidden="false" customHeight="false" outlineLevel="0" collapsed="false">
      <c r="A5" s="2" t="s">
        <v>181</v>
      </c>
      <c r="B5" s="11" t="n">
        <v>380</v>
      </c>
      <c r="C5" s="20" t="n">
        <f aca="false">INT(B5/100)</f>
        <v>3</v>
      </c>
      <c r="D5" s="12" t="n">
        <f aca="false">C5*100</f>
        <v>300</v>
      </c>
      <c r="E5" s="14" t="n">
        <f aca="false">B5*1024*Assumptions!$B$5</f>
        <v>7159.808</v>
      </c>
      <c r="F5" s="14" t="n">
        <f aca="false">D5*1024*Assumptions!$B$5*(1-Assumptions!$B$29)+(B5-D5)*1024*Assumptions!$B$5</f>
        <v>5011.8656</v>
      </c>
      <c r="G5" s="14" t="n">
        <f aca="false">E5-F5</f>
        <v>2147.9424</v>
      </c>
    </row>
    <row r="6" customFormat="false" ht="15" hidden="false" customHeight="false" outlineLevel="0" collapsed="false">
      <c r="A6" s="2" t="s">
        <v>182</v>
      </c>
      <c r="B6" s="11" t="n">
        <v>520</v>
      </c>
      <c r="C6" s="20" t="n">
        <f aca="false">INT(B6/100)</f>
        <v>5</v>
      </c>
      <c r="D6" s="12" t="n">
        <f aca="false">C6*100</f>
        <v>500</v>
      </c>
      <c r="E6" s="14" t="n">
        <f aca="false">B6*1024*Assumptions!$B$6</f>
        <v>5324.8</v>
      </c>
      <c r="F6" s="14" t="n">
        <f aca="false">D6*1024*Assumptions!$B$6*(1-Assumptions!$B$29)+(B6-D6)*1024*Assumptions!$B$6</f>
        <v>3379.2</v>
      </c>
      <c r="G6" s="14" t="n">
        <f aca="false">E6-F6</f>
        <v>1945.6</v>
      </c>
    </row>
    <row r="7" customFormat="false" ht="15" hidden="false" customHeight="false" outlineLevel="0" collapsed="false">
      <c r="A7" s="2" t="s">
        <v>121</v>
      </c>
      <c r="B7" s="11" t="n">
        <v>1472</v>
      </c>
      <c r="C7" s="20" t="n">
        <f aca="false">INT(B7/100)</f>
        <v>14</v>
      </c>
      <c r="D7" s="12" t="n">
        <f aca="false">C7*100</f>
        <v>1400</v>
      </c>
      <c r="E7" s="14" t="n">
        <f aca="false">B7*1024*Assumptions!$B$8</f>
        <v>3014.656</v>
      </c>
      <c r="F7" s="14" t="n">
        <f aca="false">D7*1024*Assumptions!$B$8*(1-Assumptions!$B$29)+(B7-D7)*1024*Assumptions!$B$8</f>
        <v>1925.12</v>
      </c>
      <c r="G7" s="14" t="n">
        <f aca="false">E7-F7</f>
        <v>1089.536</v>
      </c>
    </row>
    <row r="8" customFormat="false" ht="15" hidden="false" customHeight="false" outlineLevel="0" collapsed="false">
      <c r="A8" s="17" t="s">
        <v>183</v>
      </c>
      <c r="E8" s="23" t="n">
        <f aca="false">SUM(E5:E7)</f>
        <v>15499.264</v>
      </c>
      <c r="F8" s="23" t="n">
        <f aca="false">SUM(F5:F7)</f>
        <v>10316.1856</v>
      </c>
      <c r="G8" s="23" t="n">
        <f aca="false">SUM(G5:G7)</f>
        <v>5183.0784</v>
      </c>
    </row>
    <row r="10" customFormat="false" ht="15" hidden="false" customHeight="false" outlineLevel="0" collapsed="false">
      <c r="A10" s="7"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2026-10-15T12:59:14Z</dcterms:created>
  <dc:creator>openpyxl</dc:creator>
  <dc:description/>
  <dc:language>en-US</dc:language>
  <cp:lastModifiedBy/>
  <dcterms:modified xsi:type="dcterms:W3CDTF">2026-10-15T12:59:14Z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